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82DE4D9F-4DFD-4683-9F49-048EF9797CB9}" xr6:coauthVersionLast="47" xr6:coauthVersionMax="47" xr10:uidLastSave="{00000000-0000-0000-0000-000000000000}"/>
  <bookViews>
    <workbookView xWindow="-110" yWindow="-110" windowWidth="19420" windowHeight="10420" xr2:uid="{12A560FC-73AE-4628-9DEC-3557B48C0ED2}"/>
  </bookViews>
  <sheets>
    <sheet name="Invoice" sheetId="1" r:id="rId1"/>
    <sheet name="Data" sheetId="3" r:id="rId2"/>
    <sheet name="databases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9" i="1" l="1"/>
  <c r="B8" i="2"/>
  <c r="M15" i="1" s="1"/>
  <c r="N15" i="1" s="1"/>
  <c r="M10" i="1"/>
  <c r="O16" i="1"/>
  <c r="P16" i="1"/>
  <c r="O17" i="1"/>
  <c r="P17" i="1"/>
  <c r="O18" i="1"/>
  <c r="P18" i="1"/>
  <c r="O19" i="1"/>
  <c r="P19" i="1"/>
  <c r="O20" i="1"/>
  <c r="P20" i="1"/>
  <c r="O21" i="1"/>
  <c r="P21" i="1"/>
  <c r="O22" i="1"/>
  <c r="P22" i="1"/>
  <c r="O23" i="1"/>
  <c r="P23" i="1"/>
  <c r="O24" i="1"/>
  <c r="P24" i="1"/>
  <c r="O25" i="1"/>
  <c r="P25" i="1"/>
  <c r="O26" i="1"/>
  <c r="P26" i="1"/>
  <c r="P15" i="1"/>
  <c r="O15" i="1"/>
  <c r="P14" i="1"/>
  <c r="O14" i="1"/>
  <c r="M14" i="1" l="1"/>
  <c r="N14" i="1" s="1"/>
  <c r="M23" i="1"/>
  <c r="N23" i="1" s="1"/>
  <c r="M19" i="1"/>
  <c r="N19" i="1" s="1"/>
  <c r="M18" i="1"/>
  <c r="N18" i="1" s="1"/>
  <c r="M24" i="1"/>
  <c r="N24" i="1" s="1"/>
  <c r="M20" i="1"/>
  <c r="N20" i="1" s="1"/>
  <c r="M17" i="1"/>
  <c r="N17" i="1" s="1"/>
  <c r="M25" i="1"/>
  <c r="N25" i="1" s="1"/>
  <c r="M21" i="1"/>
  <c r="N21" i="1" s="1"/>
  <c r="M16" i="1"/>
  <c r="N16" i="1" s="1"/>
  <c r="M26" i="1"/>
  <c r="N26" i="1" s="1"/>
  <c r="M22" i="1"/>
  <c r="N22" i="1" s="1"/>
  <c r="R26" i="1"/>
  <c r="Q26" i="1"/>
  <c r="Q24" i="1" l="1"/>
  <c r="Q25" i="1"/>
  <c r="R24" i="1"/>
  <c r="R25" i="1"/>
  <c r="Q22" i="1"/>
  <c r="Q23" i="1"/>
  <c r="R22" i="1"/>
  <c r="R23" i="1"/>
  <c r="R20" i="1"/>
  <c r="R21" i="1"/>
  <c r="Q20" i="1"/>
  <c r="Q21" i="1"/>
  <c r="Q16" i="1"/>
  <c r="Q19" i="1"/>
  <c r="Q17" i="1"/>
  <c r="Q18" i="1"/>
  <c r="R17" i="1"/>
  <c r="R16" i="1"/>
  <c r="R18" i="1"/>
  <c r="R19" i="1"/>
  <c r="Q14" i="1"/>
  <c r="Q15" i="1"/>
  <c r="R15" i="1"/>
  <c r="R14" i="1"/>
  <c r="N27" i="1" l="1"/>
  <c r="S26" i="1" s="1"/>
  <c r="S24" i="1" l="1"/>
  <c r="S25" i="1"/>
  <c r="S22" i="1"/>
  <c r="S23" i="1"/>
  <c r="S20" i="1"/>
  <c r="S21" i="1"/>
  <c r="S18" i="1"/>
  <c r="S17" i="1"/>
  <c r="S19" i="1"/>
  <c r="S16" i="1"/>
  <c r="S14" i="1"/>
  <c r="S15" i="1"/>
</calcChain>
</file>

<file path=xl/sharedStrings.xml><?xml version="1.0" encoding="utf-8"?>
<sst xmlns="http://schemas.openxmlformats.org/spreadsheetml/2006/main" count="222" uniqueCount="47">
  <si>
    <t>diterima oleh</t>
  </si>
  <si>
    <t>hormat kami</t>
  </si>
  <si>
    <t>RECEIPT</t>
  </si>
  <si>
    <t>Novi Beauty Story</t>
  </si>
  <si>
    <t>Sungai Pinyuh</t>
  </si>
  <si>
    <t>Kalimantan Barat</t>
  </si>
  <si>
    <t>Kepada YTH</t>
  </si>
  <si>
    <t>Alamat</t>
  </si>
  <si>
    <t>Dari</t>
  </si>
  <si>
    <t>Invoice ID</t>
  </si>
  <si>
    <t>Tanggal</t>
  </si>
  <si>
    <t>Amount</t>
  </si>
  <si>
    <t>Subtotal</t>
  </si>
  <si>
    <t>Kode</t>
  </si>
  <si>
    <t>Nama Produk</t>
  </si>
  <si>
    <t>Harga</t>
  </si>
  <si>
    <t>SK01</t>
  </si>
  <si>
    <t>Hairdo</t>
  </si>
  <si>
    <t>SK02</t>
  </si>
  <si>
    <t>make up pesta</t>
  </si>
  <si>
    <t>SK03</t>
  </si>
  <si>
    <t>Hairblow</t>
  </si>
  <si>
    <t>SK04</t>
  </si>
  <si>
    <t>Nail Art</t>
  </si>
  <si>
    <t>SK05</t>
  </si>
  <si>
    <t>Massage</t>
  </si>
  <si>
    <t>Deskripsi jasa</t>
  </si>
  <si>
    <t>Qty</t>
  </si>
  <si>
    <t>Unit Price</t>
  </si>
  <si>
    <t>Data Entry</t>
  </si>
  <si>
    <t>Nama</t>
  </si>
  <si>
    <t>kevin</t>
  </si>
  <si>
    <t/>
  </si>
  <si>
    <t>galang</t>
  </si>
  <si>
    <t>NO</t>
  </si>
  <si>
    <t>Deskripsi</t>
  </si>
  <si>
    <t>QTY</t>
  </si>
  <si>
    <t>Total</t>
  </si>
  <si>
    <t xml:space="preserve"> </t>
  </si>
  <si>
    <t>Date/Time</t>
  </si>
  <si>
    <t>invoices generator</t>
  </si>
  <si>
    <t>kga2010</t>
  </si>
  <si>
    <t>20-10-2022 11:24:32</t>
  </si>
  <si>
    <t>crsti</t>
  </si>
  <si>
    <t>ponti</t>
  </si>
  <si>
    <t>cpo2010</t>
  </si>
  <si>
    <t>20-10-2022 11:25:00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</si>
</sst>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Rp]#,##0"/>
    <numFmt numFmtId="165" formatCode="\R\p\ #,##0"/>
  </numFmts>
  <fonts count="5" x14ac:knownFonts="1"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1" xfId="0" applyBorder="1"/>
    <xf numFmtId="0" fontId="2" fillId="2" borderId="2" xfId="0" applyFont="1" applyFill="1" applyBorder="1" applyAlignment="1">
      <alignment horizontal="center" wrapText="1"/>
    </xf>
    <xf numFmtId="0" fontId="3" fillId="0" borderId="2" xfId="0" applyFont="1" applyBorder="1" applyAlignment="1">
      <alignment wrapText="1"/>
    </xf>
    <xf numFmtId="164" fontId="3" fillId="0" borderId="2" xfId="0" applyNumberFormat="1" applyFont="1" applyBorder="1" applyAlignment="1">
      <alignment wrapText="1"/>
    </xf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0" xfId="0" applyBorder="1" applyAlignment="1">
      <alignment horizontal="left"/>
    </xf>
    <xf numFmtId="0" fontId="0" fillId="0" borderId="8" xfId="0" applyBorder="1"/>
    <xf numFmtId="0" fontId="0" fillId="0" borderId="0" xfId="0" applyBorder="1" applyAlignment="1">
      <alignment horizontal="right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8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9" xfId="0" applyBorder="1" applyAlignment="1">
      <alignment horizontal="center"/>
    </xf>
    <xf numFmtId="165" fontId="0" fillId="0" borderId="1" xfId="0" applyNumberFormat="1" applyBorder="1"/>
    <xf numFmtId="165" fontId="0" fillId="0" borderId="9" xfId="0" applyNumberFormat="1" applyBorder="1"/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3" fillId="0" borderId="0" xfId="0" applyFont="1" applyFill="1" applyBorder="1" applyAlignment="1">
      <alignment wrapText="1"/>
    </xf>
    <xf numFmtId="0" fontId="4" fillId="0" borderId="1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4" fillId="0" borderId="0" xfId="0" applyFont="1"/>
    <xf numFmtId="0" fontId="4" fillId="0" borderId="0" xfId="0" applyFont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16564</xdr:colOff>
      <xdr:row>1</xdr:row>
      <xdr:rowOff>71784</xdr:rowOff>
    </xdr:from>
    <xdr:to>
      <xdr:col>23</xdr:col>
      <xdr:colOff>55216</xdr:colOff>
      <xdr:row>7</xdr:row>
      <xdr:rowOff>154610</xdr:rowOff>
    </xdr:to>
    <xdr:sp macro="[0]!_xludf.save" textlink="">
      <xdr:nvSpPr>
        <xdr:cNvPr id="2" name="Rectangle 1">
          <a:extLst>
            <a:ext uri="{FF2B5EF4-FFF2-40B4-BE49-F238E27FC236}">
              <a16:creationId xmlns:a16="http://schemas.microsoft.com/office/drawing/2014/main" id="{709BCD83-631D-D031-5B90-B033BF24C079}"/>
            </a:ext>
          </a:extLst>
        </xdr:cNvPr>
        <xdr:cNvSpPr/>
      </xdr:nvSpPr>
      <xdr:spPr>
        <a:xfrm>
          <a:off x="6637129" y="254001"/>
          <a:ext cx="1860826" cy="117613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5400"/>
            <a:t>SAVE</a:t>
          </a:r>
        </a:p>
      </xdr:txBody>
    </xdr:sp>
    <xdr:clientData/>
  </xdr:twoCellAnchor>
  <xdr:twoCellAnchor>
    <xdr:from>
      <xdr:col>19</xdr:col>
      <xdr:colOff>610640</xdr:colOff>
      <xdr:row>8</xdr:row>
      <xdr:rowOff>176046</xdr:rowOff>
    </xdr:from>
    <xdr:to>
      <xdr:col>23</xdr:col>
      <xdr:colOff>36704</xdr:colOff>
      <xdr:row>15</xdr:row>
      <xdr:rowOff>72108</xdr:rowOff>
    </xdr:to>
    <xdr:sp macro="[0]!Del" textlink="">
      <xdr:nvSpPr>
        <xdr:cNvPr id="3" name="Rectangle 2">
          <a:extLst>
            <a:ext uri="{FF2B5EF4-FFF2-40B4-BE49-F238E27FC236}">
              <a16:creationId xmlns:a16="http://schemas.microsoft.com/office/drawing/2014/main" id="{D2B18304-A72F-4BBF-848D-239844CA91B7}"/>
            </a:ext>
          </a:extLst>
        </xdr:cNvPr>
        <xdr:cNvSpPr/>
      </xdr:nvSpPr>
      <xdr:spPr>
        <a:xfrm>
          <a:off x="6624464" y="1670164"/>
          <a:ext cx="1876416" cy="1203415"/>
        </a:xfrm>
        <a:prstGeom prst="rect">
          <a:avLst/>
        </a:prstGeom>
        <a:solidFill>
          <a:srgbClr val="FF0000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5400"/>
            <a:t>DEL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E22CF-C906-41C1-9DDB-0796C15C6E2E}">
  <sheetPr codeName="Sheet1"/>
  <dimension ref="C1:Y37"/>
  <sheetViews>
    <sheetView tabSelected="1" topLeftCell="I7" zoomScale="85" zoomScaleNormal="85" workbookViewId="0">
      <selection activeCell="M14" sqref="M14"/>
    </sheetView>
  </sheetViews>
  <sheetFormatPr defaultRowHeight="14.5" x14ac:dyDescent="0.35"/>
  <cols>
    <col min="1" max="2" width="0" hidden="1" customWidth="1"/>
    <col min="3" max="3" width="8.7265625" hidden="1" customWidth="1"/>
    <col min="4" max="4" width="0" hidden="1" customWidth="1"/>
    <col min="5" max="5" width="11.08984375" hidden="1" customWidth="1"/>
    <col min="6" max="6" width="18.36328125" hidden="1" customWidth="1"/>
    <col min="7" max="7" width="8.54296875" hidden="1" customWidth="1"/>
    <col min="8" max="8" width="12.453125" hidden="1" customWidth="1"/>
    <col min="9" max="9" width="11.453125" customWidth="1"/>
    <col min="10" max="10" width="12.6328125" customWidth="1"/>
    <col min="11" max="11" width="21.90625" customWidth="1"/>
    <col min="12" max="12" width="9.54296875" customWidth="1"/>
    <col min="13" max="13" width="18.6328125" customWidth="1"/>
    <col min="14" max="14" width="14.08984375" customWidth="1"/>
    <col min="15" max="15" width="1.08984375" hidden="1" customWidth="1"/>
    <col min="16" max="16" width="2.1796875" hidden="1" customWidth="1"/>
    <col min="17" max="17" width="2.08984375" hidden="1" customWidth="1"/>
    <col min="18" max="18" width="2" hidden="1" customWidth="1"/>
    <col min="19" max="19" width="1.81640625" hidden="1" customWidth="1"/>
  </cols>
  <sheetData>
    <row r="1" spans="10:25" ht="14.5" customHeight="1" x14ac:dyDescent="0.35">
      <c r="J1" s="19" t="s">
        <v>2</v>
      </c>
      <c r="K1" s="20"/>
      <c r="L1" s="20"/>
      <c r="M1" s="20"/>
      <c r="N1" s="21"/>
      <c r="Y1" t="s">
        <v>38</v>
      </c>
    </row>
    <row r="2" spans="10:25" ht="14.5" customHeight="1" x14ac:dyDescent="0.35">
      <c r="J2" s="22"/>
      <c r="K2" s="23"/>
      <c r="L2" s="23"/>
      <c r="M2" s="23"/>
      <c r="N2" s="24"/>
    </row>
    <row r="3" spans="10:25" x14ac:dyDescent="0.35">
      <c r="J3" s="5"/>
      <c r="K3" s="6"/>
      <c r="L3" s="6"/>
      <c r="M3" s="6"/>
      <c r="N3" s="7"/>
    </row>
    <row r="4" spans="10:25" x14ac:dyDescent="0.35">
      <c r="J4" s="5"/>
      <c r="K4" s="6"/>
      <c r="L4" s="6" t="s">
        <v>8</v>
      </c>
      <c r="M4" s="6" t="s">
        <v>3</v>
      </c>
      <c r="N4" s="7"/>
    </row>
    <row r="5" spans="10:25" x14ac:dyDescent="0.35">
      <c r="J5" s="5"/>
      <c r="K5" s="6"/>
      <c r="L5" s="6"/>
      <c r="M5" s="6" t="s">
        <v>4</v>
      </c>
      <c r="N5" s="7"/>
    </row>
    <row r="6" spans="10:25" x14ac:dyDescent="0.35">
      <c r="J6" s="5"/>
      <c r="K6" s="6"/>
      <c r="L6" s="6"/>
      <c r="M6" s="6" t="s">
        <v>5</v>
      </c>
      <c r="N6" s="7"/>
    </row>
    <row r="7" spans="10:25" x14ac:dyDescent="0.35">
      <c r="J7" s="5"/>
      <c r="K7" s="6"/>
      <c r="L7" s="6"/>
      <c r="M7" s="8">
        <v>6288229</v>
      </c>
      <c r="N7" s="7"/>
    </row>
    <row r="8" spans="10:25" x14ac:dyDescent="0.35">
      <c r="J8" s="5"/>
      <c r="K8" s="6"/>
      <c r="L8" s="6"/>
      <c r="M8" s="6"/>
      <c r="N8" s="7"/>
    </row>
    <row r="9" spans="10:25" x14ac:dyDescent="0.35">
      <c r="J9" s="5" t="s">
        <v>6</v>
      </c>
      <c r="K9" s="6"/>
      <c r="L9" s="6" t="s">
        <v>9</v>
      </c>
      <c r="M9" s="6" t="str">
        <f ca="1">LEFT(Invoice!K9,1)&amp;LEFT(Invoice!K10,2)&amp;TEXT(NOW(),"ddmm")</f>
        <v>2010</v>
      </c>
      <c r="N9" s="7"/>
    </row>
    <row r="10" spans="10:25" x14ac:dyDescent="0.35">
      <c r="J10" s="5" t="s">
        <v>7</v>
      </c>
      <c r="K10" s="6"/>
      <c r="L10" s="6" t="s">
        <v>39</v>
      </c>
      <c r="M10" s="6" t="str">
        <f ca="1">TEXT(NOW(),"dd-mm-yyyy")&amp;Y1&amp;TEXT(NOW(),"HH:MM:SS")</f>
        <v>20-10-2022 11:27:25</v>
      </c>
      <c r="N10" s="7"/>
    </row>
    <row r="11" spans="10:25" x14ac:dyDescent="0.35">
      <c r="J11" s="5"/>
      <c r="K11" s="6"/>
      <c r="L11" s="6"/>
      <c r="M11" s="6"/>
      <c r="N11" s="7"/>
    </row>
    <row r="12" spans="10:25" x14ac:dyDescent="0.35">
      <c r="J12" s="5"/>
      <c r="K12" s="6"/>
      <c r="L12" s="6"/>
      <c r="M12" s="6"/>
      <c r="N12" s="7"/>
    </row>
    <row r="13" spans="10:25" x14ac:dyDescent="0.35">
      <c r="J13" s="14" t="s">
        <v>34</v>
      </c>
      <c r="K13" s="15" t="s">
        <v>35</v>
      </c>
      <c r="L13" s="15" t="s">
        <v>36</v>
      </c>
      <c r="M13" s="15" t="s">
        <v>28</v>
      </c>
      <c r="N13" s="16" t="s">
        <v>37</v>
      </c>
      <c r="S13" s="10"/>
    </row>
    <row r="14" spans="10:25" x14ac:dyDescent="0.35">
      <c r="J14" s="9"/>
      <c r="K14" s="1"/>
      <c r="L14" s="1"/>
      <c r="M14" s="17" t="str">
        <f ca="1">_xlfn.IFNA(VLOOKUP(K14,databases!B$2:C$150,2,FALSE),"")</f>
        <v/>
      </c>
      <c r="N14" s="18" t="str">
        <f t="shared" ref="N14:N19" ca="1" si="0">IFERROR(L14*M14,"")</f>
        <v/>
      </c>
      <c r="O14" t="str">
        <f>IF(Invoice!K14&lt;&gt;"",Invoice!K$9,"")</f>
        <v/>
      </c>
      <c r="P14" t="str">
        <f>IF(Invoice!K14&lt;&gt;"",Invoice!K$10,"")</f>
        <v/>
      </c>
      <c r="Q14" t="str">
        <f>IF(Invoice!K14&lt;&gt;"",Invoice!M$9,"")</f>
        <v/>
      </c>
      <c r="R14" t="str">
        <f>IF(Invoice!K14&lt;&gt;"",Invoice!M$10,"")</f>
        <v/>
      </c>
      <c r="S14" t="str">
        <f>IF(Invoice!K14&lt;&gt;"",Invoice!N$27,"")</f>
        <v/>
      </c>
    </row>
    <row r="15" spans="10:25" x14ac:dyDescent="0.35">
      <c r="J15" s="9"/>
      <c r="K15" s="1"/>
      <c r="L15" s="1"/>
      <c r="M15" s="17" t="str">
        <f ca="1">_xlfn.IFNA(VLOOKUP(K15,databases!B$2:C$150,2,FALSE),"")</f>
        <v/>
      </c>
      <c r="N15" s="18" t="str">
        <f t="shared" ca="1" si="0"/>
        <v/>
      </c>
      <c r="O15" t="str">
        <f>IF(Invoice!K15&lt;&gt;"",Invoice!K$9,"")</f>
        <v/>
      </c>
      <c r="P15" t="str">
        <f>IF(Invoice!K15&lt;&gt;"",Invoice!K$10,"")</f>
        <v/>
      </c>
      <c r="Q15" t="str">
        <f>IF(Invoice!K15&lt;&gt;"",Invoice!M$9,"")</f>
        <v/>
      </c>
      <c r="R15" t="str">
        <f>IF(Invoice!K15&lt;&gt;"",Invoice!M$10,"")</f>
        <v/>
      </c>
      <c r="S15" t="str">
        <f>IF(Invoice!K15&lt;&gt;"",Invoice!N$27,"")</f>
        <v/>
      </c>
    </row>
    <row r="16" spans="10:25" x14ac:dyDescent="0.35">
      <c r="J16" s="9"/>
      <c r="K16" s="1"/>
      <c r="L16" s="1"/>
      <c r="M16" s="17" t="str">
        <f ca="1">_xlfn.IFNA(VLOOKUP(K16,databases!B$2:C$150,2,FALSE),"")</f>
        <v/>
      </c>
      <c r="N16" s="18" t="str">
        <f t="shared" ca="1" si="0"/>
        <v/>
      </c>
      <c r="O16" t="str">
        <f>IF(Invoice!K16&lt;&gt;"",Invoice!K$9,"")</f>
        <v/>
      </c>
      <c r="P16" t="str">
        <f>IF(Invoice!K16&lt;&gt;"",Invoice!K$10,"")</f>
        <v/>
      </c>
      <c r="Q16" t="str">
        <f>IF(Invoice!K16&lt;&gt;"",Invoice!M$9,"")</f>
        <v/>
      </c>
      <c r="R16" t="str">
        <f>IF(Invoice!K16&lt;&gt;"",Invoice!M$10,"")</f>
        <v/>
      </c>
      <c r="S16" t="str">
        <f>IF(Invoice!K16&lt;&gt;"",Invoice!N$27,"")</f>
        <v/>
      </c>
    </row>
    <row r="17" spans="10:19" x14ac:dyDescent="0.35">
      <c r="J17" s="9"/>
      <c r="K17" s="1"/>
      <c r="L17" s="1"/>
      <c r="M17" s="17" t="str">
        <f ca="1">_xlfn.IFNA(VLOOKUP(K17,databases!B$2:C$150,2,FALSE),"")</f>
        <v/>
      </c>
      <c r="N17" s="18" t="str">
        <f t="shared" ca="1" si="0"/>
        <v/>
      </c>
      <c r="O17" t="str">
        <f>IF(Invoice!K17&lt;&gt;"",Invoice!K$9,"")</f>
        <v/>
      </c>
      <c r="P17" t="str">
        <f>IF(Invoice!K17&lt;&gt;"",Invoice!K$10,"")</f>
        <v/>
      </c>
      <c r="Q17" t="str">
        <f>IF(Invoice!K17&lt;&gt;"",Invoice!M$9,"")</f>
        <v/>
      </c>
      <c r="R17" t="str">
        <f>IF(Invoice!K17&lt;&gt;"",Invoice!M$10,"")</f>
        <v/>
      </c>
      <c r="S17" t="str">
        <f>IF(Invoice!K17&lt;&gt;"",Invoice!N$27,"")</f>
        <v/>
      </c>
    </row>
    <row r="18" spans="10:19" x14ac:dyDescent="0.35">
      <c r="J18" s="9"/>
      <c r="K18" s="1"/>
      <c r="L18" s="1"/>
      <c r="M18" s="17" t="str">
        <f ca="1">_xlfn.IFNA(VLOOKUP(K18,databases!B$2:C$150,2,FALSE),"")</f>
        <v/>
      </c>
      <c r="N18" s="18" t="str">
        <f t="shared" ca="1" si="0"/>
        <v/>
      </c>
      <c r="O18" t="str">
        <f>IF(Invoice!K18&lt;&gt;"",Invoice!K$9,"")</f>
        <v/>
      </c>
      <c r="P18" t="str">
        <f>IF(Invoice!K18&lt;&gt;"",Invoice!K$10,"")</f>
        <v/>
      </c>
      <c r="Q18" t="str">
        <f>IF(Invoice!K18&lt;&gt;"",Invoice!M$9,"")</f>
        <v/>
      </c>
      <c r="R18" t="str">
        <f>IF(Invoice!K18&lt;&gt;"",Invoice!M$10,"")</f>
        <v/>
      </c>
      <c r="S18" t="str">
        <f>IF(Invoice!K18&lt;&gt;"",Invoice!N$27,"")</f>
        <v/>
      </c>
    </row>
    <row r="19" spans="10:19" x14ac:dyDescent="0.35">
      <c r="J19" s="9"/>
      <c r="K19" s="1"/>
      <c r="L19" s="1"/>
      <c r="M19" s="17" t="str">
        <f ca="1">_xlfn.IFNA(VLOOKUP(K19,databases!B$2:C$150,2,FALSE),"")</f>
        <v/>
      </c>
      <c r="N19" s="18" t="str">
        <f t="shared" ca="1" si="0"/>
        <v/>
      </c>
      <c r="O19" t="str">
        <f>IF(Invoice!K19&lt;&gt;"",Invoice!K$9,"")</f>
        <v/>
      </c>
      <c r="P19" t="str">
        <f>IF(Invoice!K19&lt;&gt;"",Invoice!K$10,"")</f>
        <v/>
      </c>
      <c r="Q19" t="str">
        <f>IF(Invoice!K19&lt;&gt;"",Invoice!M$9,"")</f>
        <v/>
      </c>
      <c r="R19" t="str">
        <f>IF(Invoice!K19&lt;&gt;"",Invoice!M$10,"")</f>
        <v/>
      </c>
      <c r="S19" t="str">
        <f>IF(Invoice!K19&lt;&gt;"",Invoice!N$27,"")</f>
        <v/>
      </c>
    </row>
    <row r="20" spans="10:19" x14ac:dyDescent="0.35">
      <c r="J20" s="9"/>
      <c r="K20" s="1"/>
      <c r="L20" s="1"/>
      <c r="M20" s="17" t="str">
        <f ca="1">_xlfn.IFNA(VLOOKUP(K20,databases!B$2:C$150,2,FALSE),"")</f>
        <v/>
      </c>
      <c r="N20" s="18" t="str">
        <f t="shared" ref="N17:N26" ca="1" si="1">IFERROR(L20*M20,"")</f>
        <v/>
      </c>
      <c r="O20" t="str">
        <f>IF(Invoice!K20&lt;&gt;"",Invoice!K$9,"")</f>
        <v/>
      </c>
      <c r="P20" t="str">
        <f>IF(Invoice!K20&lt;&gt;"",Invoice!K$10,"")</f>
        <v/>
      </c>
      <c r="Q20" t="str">
        <f>IF(Invoice!K20&lt;&gt;"",Invoice!M$9,"")</f>
        <v/>
      </c>
      <c r="R20" t="str">
        <f>IF(Invoice!K20&lt;&gt;"",Invoice!M$10,"")</f>
        <v/>
      </c>
      <c r="S20" t="str">
        <f>IF(Invoice!K20&lt;&gt;"",Invoice!N$27,"")</f>
        <v/>
      </c>
    </row>
    <row r="21" spans="10:19" x14ac:dyDescent="0.35">
      <c r="J21" s="9"/>
      <c r="K21" s="1"/>
      <c r="L21" s="1"/>
      <c r="M21" s="17" t="str">
        <f ca="1">_xlfn.IFNA(VLOOKUP(K21,databases!B$2:C$150,2,FALSE),"")</f>
        <v/>
      </c>
      <c r="N21" s="18" t="str">
        <f t="shared" ca="1" si="1"/>
        <v/>
      </c>
      <c r="O21" t="str">
        <f>IF(Invoice!K21&lt;&gt;"",Invoice!K$9,"")</f>
        <v/>
      </c>
      <c r="P21" t="str">
        <f>IF(Invoice!K21&lt;&gt;"",Invoice!K$10,"")</f>
        <v/>
      </c>
      <c r="Q21" t="str">
        <f>IF(Invoice!K21&lt;&gt;"",Invoice!M$9,"")</f>
        <v/>
      </c>
      <c r="R21" t="str">
        <f>IF(Invoice!K21&lt;&gt;"",Invoice!M$10,"")</f>
        <v/>
      </c>
      <c r="S21" t="str">
        <f>IF(Invoice!K21&lt;&gt;"",Invoice!N$27,"")</f>
        <v/>
      </c>
    </row>
    <row r="22" spans="10:19" x14ac:dyDescent="0.35">
      <c r="J22" s="9"/>
      <c r="K22" s="1"/>
      <c r="L22" s="1"/>
      <c r="M22" s="17" t="str">
        <f ca="1">_xlfn.IFNA(VLOOKUP(K22,databases!B$2:C$150,2,FALSE),"")</f>
        <v/>
      </c>
      <c r="N22" s="18" t="str">
        <f t="shared" ca="1" si="1"/>
        <v/>
      </c>
      <c r="O22" t="str">
        <f>IF(Invoice!K22&lt;&gt;"",Invoice!K$9,"")</f>
        <v/>
      </c>
      <c r="P22" t="str">
        <f>IF(Invoice!K22&lt;&gt;"",Invoice!K$10,"")</f>
        <v/>
      </c>
      <c r="Q22" t="str">
        <f>IF(Invoice!K22&lt;&gt;"",Invoice!M$9,"")</f>
        <v/>
      </c>
      <c r="R22" t="str">
        <f>IF(Invoice!K22&lt;&gt;"",Invoice!M$10,"")</f>
        <v/>
      </c>
      <c r="S22" t="str">
        <f>IF(Invoice!K22&lt;&gt;"",Invoice!N$27,"")</f>
        <v/>
      </c>
    </row>
    <row r="23" spans="10:19" x14ac:dyDescent="0.35">
      <c r="J23" s="9"/>
      <c r="K23" s="1"/>
      <c r="L23" s="1"/>
      <c r="M23" s="17" t="str">
        <f ca="1">_xlfn.IFNA(VLOOKUP(K23,databases!B$2:C$150,2,FALSE),"")</f>
        <v/>
      </c>
      <c r="N23" s="18" t="str">
        <f t="shared" ca="1" si="1"/>
        <v/>
      </c>
      <c r="O23" t="str">
        <f>IF(Invoice!K23&lt;&gt;"",Invoice!K$9,"")</f>
        <v/>
      </c>
      <c r="P23" t="str">
        <f>IF(Invoice!K23&lt;&gt;"",Invoice!K$10,"")</f>
        <v/>
      </c>
      <c r="Q23" t="str">
        <f>IF(Invoice!K23&lt;&gt;"",Invoice!M$9,"")</f>
        <v/>
      </c>
      <c r="R23" t="str">
        <f>IF(Invoice!K23&lt;&gt;"",Invoice!M$10,"")</f>
        <v/>
      </c>
      <c r="S23" t="str">
        <f>IF(Invoice!K23&lt;&gt;"",Invoice!N$27,"")</f>
        <v/>
      </c>
    </row>
    <row r="24" spans="10:19" x14ac:dyDescent="0.35">
      <c r="J24" s="9"/>
      <c r="K24" s="1"/>
      <c r="L24" s="1"/>
      <c r="M24" s="17" t="str">
        <f ca="1">_xlfn.IFNA(VLOOKUP(K24,databases!B$2:C$150,2,FALSE),"")</f>
        <v/>
      </c>
      <c r="N24" s="18" t="str">
        <f t="shared" ca="1" si="1"/>
        <v/>
      </c>
      <c r="O24" t="str">
        <f>IF(Invoice!K24&lt;&gt;"",Invoice!K$9,"")</f>
        <v/>
      </c>
      <c r="P24" t="str">
        <f>IF(Invoice!K24&lt;&gt;"",Invoice!K$10,"")</f>
        <v/>
      </c>
      <c r="Q24" t="str">
        <f>IF(Invoice!K24&lt;&gt;"",Invoice!M$9,"")</f>
        <v/>
      </c>
      <c r="R24" t="str">
        <f>IF(Invoice!K24&lt;&gt;"",Invoice!M$10,"")</f>
        <v/>
      </c>
      <c r="S24" t="str">
        <f>IF(Invoice!K24&lt;&gt;"",Invoice!N$27,"")</f>
        <v/>
      </c>
    </row>
    <row r="25" spans="10:19" x14ac:dyDescent="0.35">
      <c r="J25" s="9"/>
      <c r="K25" s="1"/>
      <c r="L25" s="1"/>
      <c r="M25" s="17" t="str">
        <f ca="1">_xlfn.IFNA(VLOOKUP(K25,databases!B$2:C$150,2,FALSE),"")</f>
        <v/>
      </c>
      <c r="N25" s="18" t="str">
        <f t="shared" ca="1" si="1"/>
        <v/>
      </c>
      <c r="O25" t="str">
        <f>IF(Invoice!K25&lt;&gt;"",Invoice!K$9,"")</f>
        <v/>
      </c>
      <c r="P25" t="str">
        <f>IF(Invoice!K25&lt;&gt;"",Invoice!K$10,"")</f>
        <v/>
      </c>
      <c r="Q25" t="str">
        <f>IF(Invoice!K25&lt;&gt;"",Invoice!M$9,"")</f>
        <v/>
      </c>
      <c r="R25" t="str">
        <f>IF(Invoice!K25&lt;&gt;"",Invoice!M$10,"")</f>
        <v/>
      </c>
      <c r="S25" t="str">
        <f>IF(Invoice!K25&lt;&gt;"",Invoice!N$27,"")</f>
        <v/>
      </c>
    </row>
    <row r="26" spans="10:19" x14ac:dyDescent="0.35">
      <c r="J26" s="9"/>
      <c r="K26" s="1"/>
      <c r="L26" s="1"/>
      <c r="M26" s="17" t="str">
        <f ca="1">_xlfn.IFNA(VLOOKUP(K26,databases!B$2:C$150,2,FALSE),"")</f>
        <v/>
      </c>
      <c r="N26" s="18" t="str">
        <f t="shared" ca="1" si="1"/>
        <v/>
      </c>
      <c r="O26" t="str">
        <f>IF(Invoice!K26&lt;&gt;"",Invoice!K$9,"")</f>
        <v/>
      </c>
      <c r="P26" t="str">
        <f>IF(Invoice!K26&lt;&gt;"",Invoice!K$10,"")</f>
        <v/>
      </c>
      <c r="Q26" t="str">
        <f>IF(Invoice!K26&lt;&gt;"",Invoice!M$9,"")</f>
        <v/>
      </c>
      <c r="R26" t="str">
        <f>IF(Invoice!K26&lt;&gt;"",Invoice!M$10,"")</f>
        <v/>
      </c>
      <c r="S26" t="str">
        <f>IF(Invoice!K26&lt;&gt;"",Invoice!N$27,"")</f>
        <v/>
      </c>
    </row>
    <row r="27" spans="10:19" x14ac:dyDescent="0.35">
      <c r="J27" s="5"/>
      <c r="K27" s="6"/>
      <c r="L27" s="6"/>
      <c r="M27" s="10" t="s">
        <v>12</v>
      </c>
      <c r="N27" s="18">
        <f ca="1">SUM(N14:N26)</f>
        <v>0</v>
      </c>
    </row>
    <row r="28" spans="10:19" x14ac:dyDescent="0.35">
      <c r="J28" s="5"/>
      <c r="K28" s="6"/>
      <c r="L28" s="6"/>
      <c r="M28" s="6"/>
      <c r="N28" s="7"/>
    </row>
    <row r="29" spans="10:19" x14ac:dyDescent="0.35">
      <c r="J29" s="5"/>
      <c r="K29" s="6"/>
      <c r="L29" s="6"/>
      <c r="M29" s="6"/>
      <c r="N29" s="7"/>
    </row>
    <row r="30" spans="10:19" x14ac:dyDescent="0.35">
      <c r="J30" s="5"/>
      <c r="K30" s="6"/>
      <c r="L30" s="6"/>
      <c r="M30" s="6"/>
      <c r="N30" s="7"/>
    </row>
    <row r="31" spans="10:19" x14ac:dyDescent="0.35">
      <c r="J31" s="25" t="s">
        <v>0</v>
      </c>
      <c r="K31" s="26"/>
      <c r="L31" s="6"/>
      <c r="M31" s="26" t="s">
        <v>1</v>
      </c>
      <c r="N31" s="27"/>
    </row>
    <row r="32" spans="10:19" x14ac:dyDescent="0.35">
      <c r="J32" s="5"/>
      <c r="K32" s="6"/>
      <c r="L32" s="6"/>
      <c r="M32" s="6"/>
      <c r="N32" s="7"/>
    </row>
    <row r="33" spans="10:14" x14ac:dyDescent="0.35">
      <c r="J33" s="5"/>
      <c r="K33" s="6"/>
      <c r="L33" s="6"/>
      <c r="M33" s="6"/>
      <c r="N33" s="7"/>
    </row>
    <row r="34" spans="10:14" x14ac:dyDescent="0.35">
      <c r="J34" s="5"/>
      <c r="K34" s="6"/>
      <c r="L34" s="6"/>
      <c r="M34" s="6"/>
      <c r="N34" s="7"/>
    </row>
    <row r="35" spans="10:14" x14ac:dyDescent="0.35">
      <c r="J35" s="5"/>
      <c r="K35" s="6"/>
      <c r="L35" s="6"/>
      <c r="M35" s="26" t="s">
        <v>3</v>
      </c>
      <c r="N35" s="27"/>
    </row>
    <row r="36" spans="10:14" x14ac:dyDescent="0.35">
      <c r="J36" s="5"/>
      <c r="K36" s="6"/>
      <c r="L36" s="6"/>
      <c r="M36" s="6"/>
      <c r="N36" s="7"/>
    </row>
    <row r="37" spans="10:14" ht="15" thickBot="1" x14ac:dyDescent="0.4">
      <c r="J37" s="11"/>
      <c r="K37" s="12"/>
      <c r="L37" s="12"/>
      <c r="M37" s="12"/>
      <c r="N37" s="13"/>
    </row>
  </sheetData>
  <mergeCells count="4">
    <mergeCell ref="J1:N2"/>
    <mergeCell ref="J31:K31"/>
    <mergeCell ref="M31:N31"/>
    <mergeCell ref="M35:N35"/>
  </mergeCells>
  <pageMargins left="0.25" right="0.25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showInputMessage="1" showErrorMessage="1" xr:uid="{4B3DF587-C676-408B-973A-6587340EBEDC}">
          <x14:formula1>
            <xm:f>databases!$B$2:$B$6</xm:f>
          </x14:formula1>
          <xm:sqref>K14:K26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27129-38C8-4D5C-BB3B-FC165CF57503}">
  <sheetPr codeName="Sheet2"/>
  <dimension ref="A1:J62"/>
  <sheetViews>
    <sheetView workbookViewId="0">
      <selection activeCell="J5" sqref="J5"/>
    </sheetView>
  </sheetViews>
  <sheetFormatPr defaultRowHeight="14.5" x14ac:dyDescent="0.35"/>
  <cols>
    <col min="1" max="1" width="16.7265625" customWidth="1"/>
    <col min="4" max="4" width="12.7265625" customWidth="1"/>
    <col min="5" max="5" width="8.90625" customWidth="1"/>
    <col min="7" max="7" width="12" customWidth="1"/>
    <col min="8" max="8" width="22.90625" customWidth="1"/>
  </cols>
  <sheetData>
    <row r="1" spans="1:10" x14ac:dyDescent="0.35">
      <c r="A1" t="s">
        <v>29</v>
      </c>
    </row>
    <row r="2" spans="1:10" x14ac:dyDescent="0.35">
      <c r="A2" s="29" t="s">
        <v>26</v>
      </c>
      <c r="B2" s="29" t="s">
        <v>27</v>
      </c>
      <c r="C2" s="29" t="s">
        <v>28</v>
      </c>
      <c r="D2" s="30" t="s">
        <v>11</v>
      </c>
      <c r="E2" s="31" t="s">
        <v>30</v>
      </c>
      <c r="F2" s="31" t="s">
        <v>7</v>
      </c>
      <c r="G2" s="31" t="s">
        <v>9</v>
      </c>
      <c r="H2" s="31" t="s">
        <v>10</v>
      </c>
      <c r="I2" s="32" t="s">
        <v>12</v>
      </c>
      <c r="J2" s="10"/>
    </row>
    <row r="3" spans="1:10" x14ac:dyDescent="0.35">
      <c r="A3" t="s">
        <v>19</v>
      </c>
      <c r="B3">
        <v>1</v>
      </c>
      <c r="C3">
        <v>300000</v>
      </c>
      <c r="D3">
        <v>300000</v>
      </c>
      <c r="E3" t="s">
        <v>31</v>
      </c>
      <c r="F3" t="s">
        <v>33</v>
      </c>
      <c r="G3" t="s">
        <v>41</v>
      </c>
      <c r="H3" t="s">
        <v>42</v>
      </c>
      <c r="I3">
        <v>500000</v>
      </c>
    </row>
    <row r="4" spans="1:10" x14ac:dyDescent="0.35">
      <c r="A4" t="s">
        <v>21</v>
      </c>
      <c r="B4">
        <v>2</v>
      </c>
      <c r="C4">
        <v>100000</v>
      </c>
      <c r="D4">
        <v>200000</v>
      </c>
      <c r="E4" t="s">
        <v>31</v>
      </c>
      <c r="F4" t="s">
        <v>33</v>
      </c>
      <c r="G4" t="s">
        <v>41</v>
      </c>
      <c r="H4" t="s">
        <v>42</v>
      </c>
      <c r="I4">
        <v>500000</v>
      </c>
    </row>
    <row r="5" spans="1:10" x14ac:dyDescent="0.35">
      <c r="A5" t="s">
        <v>19</v>
      </c>
      <c r="B5">
        <v>1</v>
      </c>
      <c r="C5">
        <v>300000</v>
      </c>
      <c r="D5">
        <v>300000</v>
      </c>
      <c r="E5" t="s">
        <v>43</v>
      </c>
      <c r="F5" t="s">
        <v>44</v>
      </c>
      <c r="G5" t="s">
        <v>45</v>
      </c>
      <c r="H5" t="s">
        <v>46</v>
      </c>
      <c r="I5">
        <v>750000</v>
      </c>
    </row>
    <row r="6" spans="1:10" x14ac:dyDescent="0.35">
      <c r="A6" t="s">
        <v>21</v>
      </c>
      <c r="B6">
        <v>2</v>
      </c>
      <c r="C6">
        <v>100000</v>
      </c>
      <c r="D6">
        <v>200000</v>
      </c>
      <c r="E6" t="s">
        <v>43</v>
      </c>
      <c r="F6" t="s">
        <v>44</v>
      </c>
      <c r="G6" t="s">
        <v>45</v>
      </c>
      <c r="H6" t="s">
        <v>46</v>
      </c>
      <c r="I6">
        <v>750000</v>
      </c>
    </row>
    <row r="7" spans="1:10" x14ac:dyDescent="0.35">
      <c r="A7" t="s">
        <v>25</v>
      </c>
      <c r="B7">
        <v>2</v>
      </c>
      <c r="C7">
        <v>125000</v>
      </c>
      <c r="D7">
        <v>250000</v>
      </c>
      <c r="E7" t="s">
        <v>43</v>
      </c>
      <c r="F7" t="s">
        <v>44</v>
      </c>
      <c r="G7" t="s">
        <v>45</v>
      </c>
      <c r="H7" t="s">
        <v>46</v>
      </c>
      <c r="I7">
        <v>750000</v>
      </c>
    </row>
    <row r="8" spans="1:10" x14ac:dyDescent="0.35">
      <c r="C8" t="s">
        <v>32</v>
      </c>
      <c r="D8" t="s">
        <v>32</v>
      </c>
      <c r="E8" t="s">
        <v>32</v>
      </c>
      <c r="F8" t="s">
        <v>32</v>
      </c>
      <c r="G8" t="s">
        <v>32</v>
      </c>
      <c r="H8" t="s">
        <v>32</v>
      </c>
      <c r="I8" t="s">
        <v>32</v>
      </c>
    </row>
    <row r="9" spans="1:10" x14ac:dyDescent="0.35">
      <c r="C9" t="s">
        <v>32</v>
      </c>
      <c r="D9" t="s">
        <v>32</v>
      </c>
      <c r="E9" t="s">
        <v>32</v>
      </c>
      <c r="F9" t="s">
        <v>32</v>
      </c>
      <c r="G9" t="s">
        <v>32</v>
      </c>
      <c r="H9" t="s">
        <v>32</v>
      </c>
      <c r="I9" t="s">
        <v>32</v>
      </c>
    </row>
    <row r="10" spans="1:10" x14ac:dyDescent="0.35">
      <c r="C10" t="s">
        <v>32</v>
      </c>
      <c r="D10" t="s">
        <v>32</v>
      </c>
      <c r="E10" t="s">
        <v>32</v>
      </c>
      <c r="F10" t="s">
        <v>32</v>
      </c>
      <c r="G10" t="s">
        <v>32</v>
      </c>
      <c r="H10" t="s">
        <v>32</v>
      </c>
      <c r="I10" t="s">
        <v>32</v>
      </c>
    </row>
    <row r="11" spans="1:10" x14ac:dyDescent="0.35">
      <c r="C11" t="s">
        <v>32</v>
      </c>
      <c r="D11" t="s">
        <v>32</v>
      </c>
      <c r="E11" t="s">
        <v>32</v>
      </c>
      <c r="F11" t="s">
        <v>32</v>
      </c>
      <c r="G11" t="s">
        <v>32</v>
      </c>
      <c r="H11" t="s">
        <v>32</v>
      </c>
      <c r="I11" t="s">
        <v>32</v>
      </c>
    </row>
    <row r="12" spans="1:10" x14ac:dyDescent="0.35">
      <c r="C12" t="s">
        <v>32</v>
      </c>
      <c r="D12" t="s">
        <v>32</v>
      </c>
      <c r="E12" t="s">
        <v>32</v>
      </c>
      <c r="F12" t="s">
        <v>32</v>
      </c>
      <c r="G12" t="s">
        <v>32</v>
      </c>
      <c r="H12" t="s">
        <v>32</v>
      </c>
      <c r="I12" t="s">
        <v>32</v>
      </c>
    </row>
    <row r="13" spans="1:10" x14ac:dyDescent="0.35">
      <c r="C13" t="s">
        <v>32</v>
      </c>
      <c r="D13" t="s">
        <v>32</v>
      </c>
      <c r="E13" t="s">
        <v>32</v>
      </c>
      <c r="F13" t="s">
        <v>32</v>
      </c>
      <c r="G13" t="s">
        <v>32</v>
      </c>
      <c r="H13" t="s">
        <v>32</v>
      </c>
      <c r="I13" t="s">
        <v>32</v>
      </c>
    </row>
    <row r="14" spans="1:10" x14ac:dyDescent="0.35">
      <c r="C14" t="s">
        <v>32</v>
      </c>
      <c r="D14" t="s">
        <v>32</v>
      </c>
      <c r="E14" t="s">
        <v>32</v>
      </c>
      <c r="F14" t="s">
        <v>32</v>
      </c>
      <c r="G14" t="s">
        <v>32</v>
      </c>
      <c r="H14" t="s">
        <v>32</v>
      </c>
      <c r="I14" t="s">
        <v>32</v>
      </c>
    </row>
    <row r="15" spans="1:10" x14ac:dyDescent="0.35">
      <c r="C15" t="s">
        <v>32</v>
      </c>
      <c r="D15" t="s">
        <v>32</v>
      </c>
      <c r="E15" t="s">
        <v>32</v>
      </c>
      <c r="F15" t="s">
        <v>32</v>
      </c>
      <c r="G15" t="s">
        <v>32</v>
      </c>
      <c r="H15" t="s">
        <v>32</v>
      </c>
      <c r="I15" t="s">
        <v>32</v>
      </c>
    </row>
    <row r="16" spans="1:10" x14ac:dyDescent="0.35">
      <c r="C16" t="s">
        <v>32</v>
      </c>
      <c r="D16" t="s">
        <v>32</v>
      </c>
      <c r="E16" t="s">
        <v>32</v>
      </c>
      <c r="F16" t="s">
        <v>32</v>
      </c>
      <c r="G16" t="s">
        <v>32</v>
      </c>
      <c r="H16" t="s">
        <v>32</v>
      </c>
      <c r="I16" t="s">
        <v>32</v>
      </c>
    </row>
    <row r="17" spans="3:9" x14ac:dyDescent="0.35">
      <c r="C17" t="s">
        <v>32</v>
      </c>
      <c r="D17" t="s">
        <v>32</v>
      </c>
      <c r="E17" t="s">
        <v>32</v>
      </c>
      <c r="F17" t="s">
        <v>32</v>
      </c>
      <c r="G17" t="s">
        <v>32</v>
      </c>
      <c r="H17" t="s">
        <v>32</v>
      </c>
      <c r="I17" t="s">
        <v>32</v>
      </c>
    </row>
    <row r="33" spans="1:1" x14ac:dyDescent="0.35">
      <c r="A33" s="6"/>
    </row>
    <row r="34" spans="1:1" x14ac:dyDescent="0.35">
      <c r="A34" s="6"/>
    </row>
    <row r="35" spans="1:1" x14ac:dyDescent="0.35">
      <c r="A35" s="6"/>
    </row>
    <row r="36" spans="1:1" x14ac:dyDescent="0.35">
      <c r="A36" s="6"/>
    </row>
    <row r="37" spans="1:1" x14ac:dyDescent="0.35">
      <c r="A37" s="6"/>
    </row>
    <row r="43" spans="1:1" x14ac:dyDescent="0.35">
      <c r="A43" s="6"/>
    </row>
    <row r="51" spans="3:9" x14ac:dyDescent="0.35">
      <c r="C51" t="s">
        <v>32</v>
      </c>
      <c r="D51" t="s">
        <v>32</v>
      </c>
      <c r="E51" t="s">
        <v>32</v>
      </c>
      <c r="F51" t="s">
        <v>32</v>
      </c>
      <c r="G51" t="s">
        <v>32</v>
      </c>
      <c r="H51" t="s">
        <v>32</v>
      </c>
      <c r="I51" t="s">
        <v>32</v>
      </c>
    </row>
    <row r="52" spans="3:9" x14ac:dyDescent="0.35">
      <c r="C52" t="s">
        <v>32</v>
      </c>
      <c r="D52" t="s">
        <v>32</v>
      </c>
      <c r="E52" t="s">
        <v>32</v>
      </c>
      <c r="F52" t="s">
        <v>32</v>
      </c>
      <c r="G52" t="s">
        <v>32</v>
      </c>
      <c r="H52" t="s">
        <v>32</v>
      </c>
      <c r="I52" t="s">
        <v>32</v>
      </c>
    </row>
    <row r="53" spans="3:9" x14ac:dyDescent="0.35">
      <c r="C53" t="s">
        <v>32</v>
      </c>
      <c r="D53" t="s">
        <v>32</v>
      </c>
      <c r="E53" t="s">
        <v>32</v>
      </c>
      <c r="F53" t="s">
        <v>32</v>
      </c>
      <c r="G53" t="s">
        <v>32</v>
      </c>
      <c r="H53" t="s">
        <v>32</v>
      </c>
      <c r="I53" t="s">
        <v>32</v>
      </c>
    </row>
    <row r="54" spans="3:9" x14ac:dyDescent="0.35">
      <c r="C54" t="s">
        <v>32</v>
      </c>
      <c r="D54" t="s">
        <v>32</v>
      </c>
      <c r="E54" t="s">
        <v>32</v>
      </c>
      <c r="F54" t="s">
        <v>32</v>
      </c>
      <c r="G54" t="s">
        <v>32</v>
      </c>
      <c r="H54" t="s">
        <v>32</v>
      </c>
      <c r="I54" t="s">
        <v>32</v>
      </c>
    </row>
    <row r="55" spans="3:9" x14ac:dyDescent="0.35">
      <c r="C55" t="s">
        <v>32</v>
      </c>
      <c r="D55" t="s">
        <v>32</v>
      </c>
      <c r="E55" t="s">
        <v>32</v>
      </c>
      <c r="F55" t="s">
        <v>32</v>
      </c>
      <c r="G55" t="s">
        <v>32</v>
      </c>
      <c r="H55" t="s">
        <v>32</v>
      </c>
      <c r="I55" t="s">
        <v>32</v>
      </c>
    </row>
    <row r="56" spans="3:9" x14ac:dyDescent="0.35">
      <c r="C56" t="s">
        <v>32</v>
      </c>
      <c r="D56" t="s">
        <v>32</v>
      </c>
      <c r="E56" t="s">
        <v>32</v>
      </c>
      <c r="F56" t="s">
        <v>32</v>
      </c>
      <c r="G56" t="s">
        <v>32</v>
      </c>
      <c r="H56" t="s">
        <v>32</v>
      </c>
      <c r="I56" t="s">
        <v>32</v>
      </c>
    </row>
    <row r="57" spans="3:9" x14ac:dyDescent="0.35">
      <c r="C57" t="s">
        <v>32</v>
      </c>
      <c r="D57" t="s">
        <v>32</v>
      </c>
      <c r="E57" t="s">
        <v>32</v>
      </c>
      <c r="F57" t="s">
        <v>32</v>
      </c>
      <c r="G57" t="s">
        <v>32</v>
      </c>
      <c r="H57" t="s">
        <v>32</v>
      </c>
      <c r="I57" t="s">
        <v>32</v>
      </c>
    </row>
    <row r="58" spans="3:9" x14ac:dyDescent="0.35">
      <c r="C58" t="s">
        <v>32</v>
      </c>
      <c r="D58" t="s">
        <v>32</v>
      </c>
      <c r="E58" t="s">
        <v>32</v>
      </c>
      <c r="F58" t="s">
        <v>32</v>
      </c>
      <c r="G58" t="s">
        <v>32</v>
      </c>
      <c r="H58" t="s">
        <v>32</v>
      </c>
      <c r="I58" t="s">
        <v>32</v>
      </c>
    </row>
    <row r="59" spans="3:9" x14ac:dyDescent="0.35">
      <c r="C59" t="s">
        <v>32</v>
      </c>
      <c r="D59" t="s">
        <v>32</v>
      </c>
      <c r="E59" t="s">
        <v>32</v>
      </c>
      <c r="F59" t="s">
        <v>32</v>
      </c>
      <c r="G59" t="s">
        <v>32</v>
      </c>
      <c r="H59" t="s">
        <v>32</v>
      </c>
      <c r="I59" t="s">
        <v>32</v>
      </c>
    </row>
    <row r="60" spans="3:9" x14ac:dyDescent="0.35">
      <c r="C60" t="s">
        <v>32</v>
      </c>
      <c r="D60" t="s">
        <v>32</v>
      </c>
      <c r="E60" t="s">
        <v>32</v>
      </c>
      <c r="F60" t="s">
        <v>32</v>
      </c>
      <c r="G60" t="s">
        <v>32</v>
      </c>
      <c r="H60" t="s">
        <v>32</v>
      </c>
      <c r="I60" t="s">
        <v>32</v>
      </c>
    </row>
    <row r="61" spans="3:9" x14ac:dyDescent="0.35">
      <c r="C61" t="s">
        <v>32</v>
      </c>
      <c r="D61" t="s">
        <v>32</v>
      </c>
      <c r="E61" t="s">
        <v>32</v>
      </c>
      <c r="F61" t="s">
        <v>32</v>
      </c>
      <c r="G61" t="s">
        <v>32</v>
      </c>
      <c r="H61" t="s">
        <v>32</v>
      </c>
      <c r="I61" t="s">
        <v>32</v>
      </c>
    </row>
    <row r="62" spans="3:9" x14ac:dyDescent="0.35">
      <c r="C62" t="s">
        <v>32</v>
      </c>
      <c r="D62" t="s">
        <v>32</v>
      </c>
      <c r="E62" t="s">
        <v>32</v>
      </c>
      <c r="F62" t="s">
        <v>32</v>
      </c>
      <c r="G62" t="s">
        <v>32</v>
      </c>
      <c r="H62" t="s">
        <v>32</v>
      </c>
      <c r="I62" t="s">
        <v>32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showInputMessage="1" showErrorMessage="1" xr:uid="{B7ADCC61-381D-40A8-9083-5D8C62C49B9C}">
          <x14:formula1>
            <xm:f>databases!$B$2:$B$6</xm:f>
          </x14:formula1>
          <xm:sqref>A38 A40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D60C9-A458-4E1C-AD28-E4FD3CBE3EF3}">
  <sheetPr codeName="Sheet3"/>
  <dimension ref="A1:C8"/>
  <sheetViews>
    <sheetView workbookViewId="0">
      <selection activeCell="B8" sqref="B8"/>
    </sheetView>
  </sheetViews>
  <sheetFormatPr defaultRowHeight="14.5" x14ac:dyDescent="0.35"/>
  <cols>
    <col min="3" max="3" width="18.453125" customWidth="1"/>
  </cols>
  <sheetData>
    <row r="1" spans="1:3" ht="26.5" x14ac:dyDescent="0.35">
      <c r="A1" s="2" t="s">
        <v>13</v>
      </c>
      <c r="B1" s="2" t="s">
        <v>14</v>
      </c>
      <c r="C1" s="2" t="s">
        <v>15</v>
      </c>
    </row>
    <row r="2" spans="1:3" x14ac:dyDescent="0.35">
      <c r="A2" s="3" t="s">
        <v>16</v>
      </c>
      <c r="B2" s="3" t="s">
        <v>17</v>
      </c>
      <c r="C2" s="4">
        <v>50000</v>
      </c>
    </row>
    <row r="3" spans="1:3" ht="26" x14ac:dyDescent="0.35">
      <c r="A3" s="3" t="s">
        <v>18</v>
      </c>
      <c r="B3" s="3" t="s">
        <v>19</v>
      </c>
      <c r="C3" s="4">
        <v>300000</v>
      </c>
    </row>
    <row r="4" spans="1:3" x14ac:dyDescent="0.35">
      <c r="A4" s="3" t="s">
        <v>20</v>
      </c>
      <c r="B4" s="3" t="s">
        <v>21</v>
      </c>
      <c r="C4" s="4">
        <v>100000</v>
      </c>
    </row>
    <row r="5" spans="1:3" x14ac:dyDescent="0.35">
      <c r="A5" s="3" t="s">
        <v>22</v>
      </c>
      <c r="B5" s="3" t="s">
        <v>23</v>
      </c>
      <c r="C5" s="4">
        <v>250000</v>
      </c>
    </row>
    <row r="6" spans="1:3" x14ac:dyDescent="0.35">
      <c r="A6" s="3" t="s">
        <v>24</v>
      </c>
      <c r="B6" s="3" t="s">
        <v>25</v>
      </c>
      <c r="C6" s="4">
        <v>125000</v>
      </c>
    </row>
    <row r="8" spans="1:3" ht="26" x14ac:dyDescent="0.35">
      <c r="A8" s="28" t="s">
        <v>40</v>
      </c>
      <c r="B8" t="str">
        <f ca="1">LEFT(Invoice!K9,1)&amp;LEFT(Invoice!K10,2)&amp;TEXT(NOW(),"mmss")</f>
        <v>2725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Invoice</vt:lpstr>
      <vt:lpstr>Data</vt:lpstr>
      <vt:lpstr>databases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Dataon_User</dc:creator>
  <cp:lastModifiedBy>Dataon_User</cp:lastModifiedBy>
  <cp:lastPrinted>2022-10-20T04:23:14Z</cp:lastPrinted>
  <dcterms:created xsi:type="dcterms:W3CDTF">2022-10-19T13:56:38Z</dcterms:created>
  <dcterms:modified xsi:type="dcterms:W3CDTF">2022-10-20T04:45:39Z</dcterms:modified>
</cp:coreProperties>
</file>